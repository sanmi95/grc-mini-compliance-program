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  <sheet xmlns:r="http://schemas.openxmlformats.org/officeDocument/2006/relationships" name="Gap 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4B2D8F"/>
      </patternFill>
    </fill>
    <fill>
      <patternFill patternType="solid">
        <fgColor rgb="007B52C1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9" fontId="7" fillId="9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9" fontId="7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9" fontId="7" fillId="5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9" fontId="8" fillId="13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9" fontId="7" fillId="7" borderId="1" applyAlignment="1" pivotButton="0" quotePrefix="0" xfId="0">
      <alignment horizontal="center"/>
    </xf>
    <xf numFmtId="0" fontId="6" fillId="14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wrapText="1"/>
    </xf>
    <xf numFmtId="0" fontId="4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5" fillId="9" borderId="1" applyAlignment="1" pivotButton="0" quotePrefix="0" xfId="0">
      <alignment horizontal="center"/>
    </xf>
    <xf numFmtId="0" fontId="4" fillId="16" borderId="1" pivotButton="0" quotePrefix="0" xfId="0"/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48" customWidth="1" min="5" max="5"/>
    <col width="18" customWidth="1" min="6" max="6"/>
    <col width="52" customWidth="1" min="7" max="7"/>
    <col width="10" customWidth="1" min="8" max="8"/>
    <col width="16" customWidth="1" min="9" max="9"/>
  </cols>
  <sheetData>
    <row r="1" ht="30" customHeight="1">
      <c r="A1" s="1" t="inlineStr">
        <is>
          <t>NimbusCore Inc. — Compliance Control Mapping (NIST CSF + ISO 27001)</t>
        </is>
      </c>
    </row>
    <row r="2" ht="20" customHeight="1">
      <c r="A2" s="2" t="inlineStr">
        <is>
          <t>Framework: NIST CSF v1.1 + ISO/IEC 27001:2022   |   Company: NimbusCore Inc.   |   Review Date: 2025</t>
        </is>
      </c>
    </row>
    <row r="3" ht="36" customHeight="1">
      <c r="A3" s="3" t="inlineStr">
        <is>
          <t>Control ID</t>
        </is>
      </c>
      <c r="B3" s="3" t="inlineStr">
        <is>
          <t>NIST CSF Function</t>
        </is>
      </c>
      <c r="C3" s="3" t="inlineStr">
        <is>
          <t>NIST CSF Category</t>
        </is>
      </c>
      <c r="D3" s="3" t="inlineStr">
        <is>
          <t>ISO 27001 Annex A Ref</t>
        </is>
      </c>
      <c r="E3" s="3" t="inlineStr">
        <is>
          <t>Control Description</t>
        </is>
      </c>
      <c r="F3" s="3" t="inlineStr">
        <is>
          <t>Current Status</t>
        </is>
      </c>
      <c r="G3" s="3" t="inlineStr">
        <is>
          <t>Gap Description</t>
        </is>
      </c>
      <c r="H3" s="3" t="inlineStr">
        <is>
          <t>Priority</t>
        </is>
      </c>
      <c r="I3" s="3" t="inlineStr">
        <is>
          <t>Owner</t>
        </is>
      </c>
    </row>
    <row r="4" ht="52" customHeight="1">
      <c r="A4" s="4" t="inlineStr">
        <is>
          <t>ID.AM-1</t>
        </is>
      </c>
      <c r="B4" s="4" t="inlineStr">
        <is>
          <t>IDENTIFY</t>
        </is>
      </c>
      <c r="C4" s="4" t="inlineStr">
        <is>
          <t>Asset Management</t>
        </is>
      </c>
      <c r="D4" s="4" t="inlineStr">
        <is>
          <t>A.8.1</t>
        </is>
      </c>
      <c r="E4" s="5" t="inlineStr">
        <is>
          <t>Physical devices and systems within the organization are inventoried.</t>
        </is>
      </c>
      <c r="F4" s="6" t="inlineStr">
        <is>
          <t>Not Implemented</t>
        </is>
      </c>
      <c r="G4" s="5" t="inlineStr">
        <is>
          <t>No formal asset inventory exists. Devices and cloud resources are not catalogued.</t>
        </is>
      </c>
      <c r="H4" s="7" t="inlineStr">
        <is>
          <t>High</t>
        </is>
      </c>
      <c r="I4" s="5" t="inlineStr">
        <is>
          <t>Dana Cho</t>
        </is>
      </c>
    </row>
    <row r="5" ht="52" customHeight="1">
      <c r="A5" s="4" t="inlineStr">
        <is>
          <t>ID.AM-2</t>
        </is>
      </c>
      <c r="B5" s="4" t="inlineStr">
        <is>
          <t>IDENTIFY</t>
        </is>
      </c>
      <c r="C5" s="4" t="inlineStr">
        <is>
          <t>Asset Management</t>
        </is>
      </c>
      <c r="D5" s="4" t="inlineStr">
        <is>
          <t>A.8.1</t>
        </is>
      </c>
      <c r="E5" s="5" t="inlineStr">
        <is>
          <t>Software platforms and applications within the organization are inventoried.</t>
        </is>
      </c>
      <c r="F5" s="8" t="inlineStr">
        <is>
          <t>Partial</t>
        </is>
      </c>
      <c r="G5" s="5" t="inlineStr">
        <is>
          <t>AWS services are partially documented but no unified software inventory exists.</t>
        </is>
      </c>
      <c r="H5" s="7" t="inlineStr">
        <is>
          <t>High</t>
        </is>
      </c>
      <c r="I5" s="5" t="inlineStr">
        <is>
          <t>Dana Cho</t>
        </is>
      </c>
    </row>
    <row r="6" ht="52" customHeight="1">
      <c r="A6" s="4" t="inlineStr">
        <is>
          <t>ID.GV-1</t>
        </is>
      </c>
      <c r="B6" s="4" t="inlineStr">
        <is>
          <t>IDENTIFY</t>
        </is>
      </c>
      <c r="C6" s="4" t="inlineStr">
        <is>
          <t>Governance</t>
        </is>
      </c>
      <c r="D6" s="4" t="inlineStr">
        <is>
          <t>A.5.1</t>
        </is>
      </c>
      <c r="E6" s="5" t="inlineStr">
        <is>
          <t>Organizational information security policy is established and communicated.</t>
        </is>
      </c>
      <c r="F6" s="6" t="inlineStr">
        <is>
          <t>Not Implemented</t>
        </is>
      </c>
      <c r="G6" s="5" t="inlineStr">
        <is>
          <t>No formal Information Security Policy has been documented or distributed to staff.</t>
        </is>
      </c>
      <c r="H6" s="7" t="inlineStr">
        <is>
          <t>High</t>
        </is>
      </c>
      <c r="I6" s="5" t="inlineStr">
        <is>
          <t>Jordan Mills</t>
        </is>
      </c>
    </row>
    <row r="7" ht="52" customHeight="1">
      <c r="A7" s="4" t="inlineStr">
        <is>
          <t>ID.GV-3</t>
        </is>
      </c>
      <c r="B7" s="4" t="inlineStr">
        <is>
          <t>IDENTIFY</t>
        </is>
      </c>
      <c r="C7" s="4" t="inlineStr">
        <is>
          <t>Governance</t>
        </is>
      </c>
      <c r="D7" s="4" t="inlineStr">
        <is>
          <t>A.18.1</t>
        </is>
      </c>
      <c r="E7" s="5" t="inlineStr">
        <is>
          <t>Legal and regulatory requirements regarding cybersecurity are understood and managed.</t>
        </is>
      </c>
      <c r="F7" s="8" t="inlineStr">
        <is>
          <t>Partial</t>
        </is>
      </c>
      <c r="G7" s="5" t="inlineStr">
        <is>
          <t>GDPR and CCPA obligations are known but not formally mapped to controls.</t>
        </is>
      </c>
      <c r="H7" s="9" t="inlineStr">
        <is>
          <t>Medium</t>
        </is>
      </c>
      <c r="I7" s="5" t="inlineStr">
        <is>
          <t>Legal/Compliance</t>
        </is>
      </c>
    </row>
    <row r="8" ht="52" customHeight="1">
      <c r="A8" s="4" t="inlineStr">
        <is>
          <t>ID.RA-1</t>
        </is>
      </c>
      <c r="B8" s="4" t="inlineStr">
        <is>
          <t>IDENTIFY</t>
        </is>
      </c>
      <c r="C8" s="4" t="inlineStr">
        <is>
          <t>Risk Assessment</t>
        </is>
      </c>
      <c r="D8" s="4" t="inlineStr">
        <is>
          <t>A.8.2</t>
        </is>
      </c>
      <c r="E8" s="5" t="inlineStr">
        <is>
          <t>Asset vulnerabilities are identified and documented.</t>
        </is>
      </c>
      <c r="F8" s="6" t="inlineStr">
        <is>
          <t>Not Implemented</t>
        </is>
      </c>
      <c r="G8" s="5" t="inlineStr">
        <is>
          <t>No formal vulnerability management process. No scheduled scans or documented findings.</t>
        </is>
      </c>
      <c r="H8" s="7" t="inlineStr">
        <is>
          <t>High</t>
        </is>
      </c>
      <c r="I8" s="5" t="inlineStr">
        <is>
          <t>Dana Cho</t>
        </is>
      </c>
    </row>
    <row r="9" ht="52" customHeight="1">
      <c r="A9" s="4" t="inlineStr">
        <is>
          <t>ID.RA-3</t>
        </is>
      </c>
      <c r="B9" s="4" t="inlineStr">
        <is>
          <t>IDENTIFY</t>
        </is>
      </c>
      <c r="C9" s="4" t="inlineStr">
        <is>
          <t>Risk Assessment</t>
        </is>
      </c>
      <c r="D9" s="4" t="inlineStr">
        <is>
          <t>A.6.1</t>
        </is>
      </c>
      <c r="E9" s="5" t="inlineStr">
        <is>
          <t>Threats, both internal and external, are identified and documented.</t>
        </is>
      </c>
      <c r="F9" s="6" t="inlineStr">
        <is>
          <t>Not Implemented</t>
        </is>
      </c>
      <c r="G9" s="5" t="inlineStr">
        <is>
          <t>No threat identification process or risk register in place.</t>
        </is>
      </c>
      <c r="H9" s="7" t="inlineStr">
        <is>
          <t>High</t>
        </is>
      </c>
      <c r="I9" s="5" t="inlineStr">
        <is>
          <t>Dana Cho</t>
        </is>
      </c>
    </row>
    <row r="10" ht="52" customHeight="1">
      <c r="A10" s="10" t="inlineStr">
        <is>
          <t>PR.AC-1</t>
        </is>
      </c>
      <c r="B10" s="10" t="inlineStr">
        <is>
          <t>PROTECT</t>
        </is>
      </c>
      <c r="C10" s="10" t="inlineStr">
        <is>
          <t>Access Control</t>
        </is>
      </c>
      <c r="D10" s="10" t="inlineStr">
        <is>
          <t>A.9.2</t>
        </is>
      </c>
      <c r="E10" s="11" t="inlineStr">
        <is>
          <t>Identities and credentials are managed for authorized devices, users and processes.</t>
        </is>
      </c>
      <c r="F10" s="8" t="inlineStr">
        <is>
          <t>Partial</t>
        </is>
      </c>
      <c r="G10" s="11" t="inlineStr">
        <is>
          <t>MFA is enforced for admins only. Regular employee accounts lack MFA enforcement.</t>
        </is>
      </c>
      <c r="H10" s="7" t="inlineStr">
        <is>
          <t>High</t>
        </is>
      </c>
      <c r="I10" s="11" t="inlineStr">
        <is>
          <t>Marcus Reyes</t>
        </is>
      </c>
    </row>
    <row r="11" ht="52" customHeight="1">
      <c r="A11" s="10" t="inlineStr">
        <is>
          <t>PR.AC-3</t>
        </is>
      </c>
      <c r="B11" s="10" t="inlineStr">
        <is>
          <t>PROTECT</t>
        </is>
      </c>
      <c r="C11" s="10" t="inlineStr">
        <is>
          <t>Access Control</t>
        </is>
      </c>
      <c r="D11" s="10" t="inlineStr">
        <is>
          <t>A.9.4</t>
        </is>
      </c>
      <c r="E11" s="11" t="inlineStr">
        <is>
          <t>Remote access is managed.</t>
        </is>
      </c>
      <c r="F11" s="12" t="inlineStr">
        <is>
          <t>Implemented</t>
        </is>
      </c>
      <c r="G11" s="11" t="inlineStr">
        <is>
          <t>VPN and Okta SSO are in place for remote access. No significant gap identified.</t>
        </is>
      </c>
      <c r="H11" s="13" t="inlineStr">
        <is>
          <t>Low</t>
        </is>
      </c>
      <c r="I11" s="11" t="inlineStr">
        <is>
          <t>Marcus Reyes</t>
        </is>
      </c>
    </row>
    <row r="12" ht="52" customHeight="1">
      <c r="A12" s="10" t="inlineStr">
        <is>
          <t>PR.AC-4</t>
        </is>
      </c>
      <c r="B12" s="10" t="inlineStr">
        <is>
          <t>PROTECT</t>
        </is>
      </c>
      <c r="C12" s="10" t="inlineStr">
        <is>
          <t>Access Control</t>
        </is>
      </c>
      <c r="D12" s="10" t="inlineStr">
        <is>
          <t>A.9.1</t>
        </is>
      </c>
      <c r="E12" s="11" t="inlineStr">
        <is>
          <t>Access permissions are managed, incorporating principles of least privilege and separation of duties.</t>
        </is>
      </c>
      <c r="F12" s="8" t="inlineStr">
        <is>
          <t>Partial</t>
        </is>
      </c>
      <c r="G12" s="11" t="inlineStr">
        <is>
          <t>Least privilege is applied inconsistently. Some engineers have broader AWS IAM permissions than needed.</t>
        </is>
      </c>
      <c r="H12" s="7" t="inlineStr">
        <is>
          <t>High</t>
        </is>
      </c>
      <c r="I12" s="11" t="inlineStr">
        <is>
          <t>Marcus Reyes</t>
        </is>
      </c>
    </row>
    <row r="13" ht="52" customHeight="1">
      <c r="A13" s="10" t="inlineStr">
        <is>
          <t>PR.AT-1</t>
        </is>
      </c>
      <c r="B13" s="10" t="inlineStr">
        <is>
          <t>PROTECT</t>
        </is>
      </c>
      <c r="C13" s="10" t="inlineStr">
        <is>
          <t>Awareness and Training</t>
        </is>
      </c>
      <c r="D13" s="10" t="inlineStr">
        <is>
          <t>A.7.2</t>
        </is>
      </c>
      <c r="E13" s="11" t="inlineStr">
        <is>
          <t>All users are informed and trained.</t>
        </is>
      </c>
      <c r="F13" s="8" t="inlineStr">
        <is>
          <t>Partial</t>
        </is>
      </c>
      <c r="G13" s="11" t="inlineStr">
        <is>
          <t>Security awareness training was last conducted 18 months ago. No recurring program exists.</t>
        </is>
      </c>
      <c r="H13" s="9" t="inlineStr">
        <is>
          <t>Medium</t>
        </is>
      </c>
      <c r="I13" s="11" t="inlineStr">
        <is>
          <t>Dana Cho</t>
        </is>
      </c>
    </row>
    <row r="14" ht="52" customHeight="1">
      <c r="A14" s="10" t="inlineStr">
        <is>
          <t>PR.DS-1</t>
        </is>
      </c>
      <c r="B14" s="10" t="inlineStr">
        <is>
          <t>PROTECT</t>
        </is>
      </c>
      <c r="C14" s="10" t="inlineStr">
        <is>
          <t>Data Security</t>
        </is>
      </c>
      <c r="D14" s="10" t="inlineStr">
        <is>
          <t>A.8.3</t>
        </is>
      </c>
      <c r="E14" s="11" t="inlineStr">
        <is>
          <t>Data-at-rest is protected.</t>
        </is>
      </c>
      <c r="F14" s="12" t="inlineStr">
        <is>
          <t>Implemented</t>
        </is>
      </c>
      <c r="G14" s="11" t="inlineStr">
        <is>
          <t>AWS S3 and RDS encryption at rest is enabled. No gap identified.</t>
        </is>
      </c>
      <c r="H14" s="13" t="inlineStr">
        <is>
          <t>Low</t>
        </is>
      </c>
      <c r="I14" s="11" t="inlineStr">
        <is>
          <t>Marcus Reyes</t>
        </is>
      </c>
    </row>
    <row r="15" ht="52" customHeight="1">
      <c r="A15" s="10" t="inlineStr">
        <is>
          <t>PR.DS-2</t>
        </is>
      </c>
      <c r="B15" s="10" t="inlineStr">
        <is>
          <t>PROTECT</t>
        </is>
      </c>
      <c r="C15" s="10" t="inlineStr">
        <is>
          <t>Data Security</t>
        </is>
      </c>
      <c r="D15" s="10" t="inlineStr">
        <is>
          <t>A.13.2</t>
        </is>
      </c>
      <c r="E15" s="11" t="inlineStr">
        <is>
          <t>Data-in-transit is protected.</t>
        </is>
      </c>
      <c r="F15" s="12" t="inlineStr">
        <is>
          <t>Implemented</t>
        </is>
      </c>
      <c r="G15" s="11" t="inlineStr">
        <is>
          <t>TLS 1.2+ enforced across all services. No gap identified.</t>
        </is>
      </c>
      <c r="H15" s="13" t="inlineStr">
        <is>
          <t>Low</t>
        </is>
      </c>
      <c r="I15" s="11" t="inlineStr">
        <is>
          <t>Marcus Reyes</t>
        </is>
      </c>
    </row>
    <row r="16" ht="52" customHeight="1">
      <c r="A16" s="10" t="inlineStr">
        <is>
          <t>PR.DS-5</t>
        </is>
      </c>
      <c r="B16" s="10" t="inlineStr">
        <is>
          <t>PROTECT</t>
        </is>
      </c>
      <c r="C16" s="10" t="inlineStr">
        <is>
          <t>Data Security</t>
        </is>
      </c>
      <c r="D16" s="10" t="inlineStr">
        <is>
          <t>A.13.1</t>
        </is>
      </c>
      <c r="E16" s="11" t="inlineStr">
        <is>
          <t>Protections against data leaks are implemented.</t>
        </is>
      </c>
      <c r="F16" s="8" t="inlineStr">
        <is>
          <t>Partial</t>
        </is>
      </c>
      <c r="G16" s="11" t="inlineStr">
        <is>
          <t>No formal DLP solution. Sensitive data classification policy does not exist.</t>
        </is>
      </c>
      <c r="H16" s="9" t="inlineStr">
        <is>
          <t>Medium</t>
        </is>
      </c>
      <c r="I16" s="11" t="inlineStr">
        <is>
          <t>Dana Cho</t>
        </is>
      </c>
    </row>
    <row r="17" ht="52" customHeight="1">
      <c r="A17" s="10" t="inlineStr">
        <is>
          <t>PR.IP-1</t>
        </is>
      </c>
      <c r="B17" s="10" t="inlineStr">
        <is>
          <t>PROTECT</t>
        </is>
      </c>
      <c r="C17" s="10" t="inlineStr">
        <is>
          <t>Info Protection Processes</t>
        </is>
      </c>
      <c r="D17" s="10" t="inlineStr">
        <is>
          <t>A.12.1</t>
        </is>
      </c>
      <c r="E17" s="11" t="inlineStr">
        <is>
          <t>A baseline configuration of information technology is created and maintained.</t>
        </is>
      </c>
      <c r="F17" s="8" t="inlineStr">
        <is>
          <t>Partial</t>
        </is>
      </c>
      <c r="G17" s="11" t="inlineStr">
        <is>
          <t>Some AWS configs documented but no formal baseline configuration management policy.</t>
        </is>
      </c>
      <c r="H17" s="9" t="inlineStr">
        <is>
          <t>Medium</t>
        </is>
      </c>
      <c r="I17" s="11" t="inlineStr">
        <is>
          <t>Marcus Reyes</t>
        </is>
      </c>
    </row>
    <row r="18" ht="52" customHeight="1">
      <c r="A18" s="10" t="inlineStr">
        <is>
          <t>PR.IP-9</t>
        </is>
      </c>
      <c r="B18" s="10" t="inlineStr">
        <is>
          <t>PROTECT</t>
        </is>
      </c>
      <c r="C18" s="10" t="inlineStr">
        <is>
          <t>Info Protection Processes</t>
        </is>
      </c>
      <c r="D18" s="10" t="inlineStr">
        <is>
          <t>A.16.1</t>
        </is>
      </c>
      <c r="E18" s="11" t="inlineStr">
        <is>
          <t>Response plans (Incident Response, Business Continuity, Disaster Recovery) are in place.</t>
        </is>
      </c>
      <c r="F18" s="6" t="inlineStr">
        <is>
          <t>Not Implemented</t>
        </is>
      </c>
      <c r="G18" s="11" t="inlineStr">
        <is>
          <t>No documented incident response or business continuity plan exists.</t>
        </is>
      </c>
      <c r="H18" s="7" t="inlineStr">
        <is>
          <t>High</t>
        </is>
      </c>
      <c r="I18" s="11" t="inlineStr">
        <is>
          <t>Dana Cho</t>
        </is>
      </c>
    </row>
    <row r="19" ht="52" customHeight="1">
      <c r="A19" s="14" t="inlineStr">
        <is>
          <t>DE.AE-1</t>
        </is>
      </c>
      <c r="B19" s="14" t="inlineStr">
        <is>
          <t>DETECT</t>
        </is>
      </c>
      <c r="C19" s="14" t="inlineStr">
        <is>
          <t>Anomalies and Events</t>
        </is>
      </c>
      <c r="D19" s="14" t="inlineStr">
        <is>
          <t>A.12.4</t>
        </is>
      </c>
      <c r="E19" s="15" t="inlineStr">
        <is>
          <t>A baseline of network operations and expected data flows is established.</t>
        </is>
      </c>
      <c r="F19" s="8" t="inlineStr">
        <is>
          <t>Partial</t>
        </is>
      </c>
      <c r="G19" s="15" t="inlineStr">
        <is>
          <t>CloudWatch and Datadog are configured but no formal baseline or alerting thresholds defined.</t>
        </is>
      </c>
      <c r="H19" s="9" t="inlineStr">
        <is>
          <t>Medium</t>
        </is>
      </c>
      <c r="I19" s="15" t="inlineStr">
        <is>
          <t>Marcus Reyes</t>
        </is>
      </c>
    </row>
    <row r="20" ht="52" customHeight="1">
      <c r="A20" s="14" t="inlineStr">
        <is>
          <t>DE.CM-1</t>
        </is>
      </c>
      <c r="B20" s="14" t="inlineStr">
        <is>
          <t>DETECT</t>
        </is>
      </c>
      <c r="C20" s="14" t="inlineStr">
        <is>
          <t>Continuous Monitoring</t>
        </is>
      </c>
      <c r="D20" s="14" t="inlineStr">
        <is>
          <t>A.12.4</t>
        </is>
      </c>
      <c r="E20" s="15" t="inlineStr">
        <is>
          <t>The network is monitored to detect potential cybersecurity events.</t>
        </is>
      </c>
      <c r="F20" s="8" t="inlineStr">
        <is>
          <t>Partial</t>
        </is>
      </c>
      <c r="G20" s="15" t="inlineStr">
        <is>
          <t>Basic monitoring in place but no 24/7 coverage or defined escalation path.</t>
        </is>
      </c>
      <c r="H20" s="9" t="inlineStr">
        <is>
          <t>Medium</t>
        </is>
      </c>
      <c r="I20" s="15" t="inlineStr">
        <is>
          <t>Dana Cho</t>
        </is>
      </c>
    </row>
    <row r="21" ht="52" customHeight="1">
      <c r="A21" s="14" t="inlineStr">
        <is>
          <t>DE.CM-7</t>
        </is>
      </c>
      <c r="B21" s="14" t="inlineStr">
        <is>
          <t>DETECT</t>
        </is>
      </c>
      <c r="C21" s="14" t="inlineStr">
        <is>
          <t>Continuous Monitoring</t>
        </is>
      </c>
      <c r="D21" s="14" t="inlineStr">
        <is>
          <t>A.12.6</t>
        </is>
      </c>
      <c r="E21" s="15" t="inlineStr">
        <is>
          <t>Monitoring for unauthorized personnel, connections, devices, and software is performed.</t>
        </is>
      </c>
      <c r="F21" s="6" t="inlineStr">
        <is>
          <t>Not Implemented</t>
        </is>
      </c>
      <c r="G21" s="15" t="inlineStr">
        <is>
          <t>No process to detect unauthorized devices or user accounts. No regular IAM access reviews.</t>
        </is>
      </c>
      <c r="H21" s="7" t="inlineStr">
        <is>
          <t>High</t>
        </is>
      </c>
      <c r="I21" s="15" t="inlineStr">
        <is>
          <t>Dana Cho</t>
        </is>
      </c>
    </row>
    <row r="22" ht="52" customHeight="1">
      <c r="A22" s="16" t="inlineStr">
        <is>
          <t>RS.RP-1</t>
        </is>
      </c>
      <c r="B22" s="16" t="inlineStr">
        <is>
          <t>RESPOND</t>
        </is>
      </c>
      <c r="C22" s="16" t="inlineStr">
        <is>
          <t>Response Planning</t>
        </is>
      </c>
      <c r="D22" s="16" t="inlineStr">
        <is>
          <t>A.16.1</t>
        </is>
      </c>
      <c r="E22" s="17" t="inlineStr">
        <is>
          <t>Response plan is executed during or after an event.</t>
        </is>
      </c>
      <c r="F22" s="6" t="inlineStr">
        <is>
          <t>Not Implemented</t>
        </is>
      </c>
      <c r="G22" s="17" t="inlineStr">
        <is>
          <t>No formal incident response plan. Responses have been ad hoc with no documented procedures.</t>
        </is>
      </c>
      <c r="H22" s="7" t="inlineStr">
        <is>
          <t>High</t>
        </is>
      </c>
      <c r="I22" s="17" t="inlineStr">
        <is>
          <t>Dana Cho</t>
        </is>
      </c>
    </row>
    <row r="23" ht="52" customHeight="1">
      <c r="A23" s="16" t="inlineStr">
        <is>
          <t>RS.CO-2</t>
        </is>
      </c>
      <c r="B23" s="16" t="inlineStr">
        <is>
          <t>RESPOND</t>
        </is>
      </c>
      <c r="C23" s="16" t="inlineStr">
        <is>
          <t>Communications</t>
        </is>
      </c>
      <c r="D23" s="16" t="inlineStr">
        <is>
          <t>A.16.1</t>
        </is>
      </c>
      <c r="E23" s="17" t="inlineStr">
        <is>
          <t>Events are reported consistent with established criteria.</t>
        </is>
      </c>
      <c r="F23" s="6" t="inlineStr">
        <is>
          <t>Not Implemented</t>
        </is>
      </c>
      <c r="G23" s="17" t="inlineStr">
        <is>
          <t>No incident reporting criteria or escalation matrix defined.</t>
        </is>
      </c>
      <c r="H23" s="7" t="inlineStr">
        <is>
          <t>High</t>
        </is>
      </c>
      <c r="I23" s="17" t="inlineStr">
        <is>
          <t>Jordan Mills</t>
        </is>
      </c>
    </row>
    <row r="24" ht="52" customHeight="1">
      <c r="A24" s="16" t="inlineStr">
        <is>
          <t>RS.AN-1</t>
        </is>
      </c>
      <c r="B24" s="16" t="inlineStr">
        <is>
          <t>RESPOND</t>
        </is>
      </c>
      <c r="C24" s="16" t="inlineStr">
        <is>
          <t>Analysis</t>
        </is>
      </c>
      <c r="D24" s="16" t="inlineStr">
        <is>
          <t>A.16.1</t>
        </is>
      </c>
      <c r="E24" s="17" t="inlineStr">
        <is>
          <t>Notifications from detection systems are investigated.</t>
        </is>
      </c>
      <c r="F24" s="8" t="inlineStr">
        <is>
          <t>Partial</t>
        </is>
      </c>
      <c r="G24" s="17" t="inlineStr">
        <is>
          <t>Datadog alerts are reviewed but no formal triage or investigation process exists.</t>
        </is>
      </c>
      <c r="H24" s="9" t="inlineStr">
        <is>
          <t>Medium</t>
        </is>
      </c>
      <c r="I24" s="17" t="inlineStr">
        <is>
          <t>Dana Cho</t>
        </is>
      </c>
    </row>
    <row r="25" ht="52" customHeight="1">
      <c r="A25" s="18" t="inlineStr">
        <is>
          <t>RC.RP-1</t>
        </is>
      </c>
      <c r="B25" s="18" t="inlineStr">
        <is>
          <t>RECOVER</t>
        </is>
      </c>
      <c r="C25" s="18" t="inlineStr">
        <is>
          <t>Recovery Planning</t>
        </is>
      </c>
      <c r="D25" s="18" t="inlineStr">
        <is>
          <t>A.17.1</t>
        </is>
      </c>
      <c r="E25" s="19" t="inlineStr">
        <is>
          <t>Recovery plan is executed during or after an event.</t>
        </is>
      </c>
      <c r="F25" s="6" t="inlineStr">
        <is>
          <t>Not Implemented</t>
        </is>
      </c>
      <c r="G25" s="19" t="inlineStr">
        <is>
          <t>No disaster recovery or business continuity plan. RTO/RPO not defined.</t>
        </is>
      </c>
      <c r="H25" s="7" t="inlineStr">
        <is>
          <t>High</t>
        </is>
      </c>
      <c r="I25" s="19" t="inlineStr">
        <is>
          <t>Marcus Reyes</t>
        </is>
      </c>
    </row>
    <row r="26" ht="52" customHeight="1">
      <c r="A26" s="18" t="inlineStr">
        <is>
          <t>RC.IM-1</t>
        </is>
      </c>
      <c r="B26" s="18" t="inlineStr">
        <is>
          <t>RECOVER</t>
        </is>
      </c>
      <c r="C26" s="18" t="inlineStr">
        <is>
          <t>Improvements</t>
        </is>
      </c>
      <c r="D26" s="18" t="inlineStr">
        <is>
          <t>A.16.1</t>
        </is>
      </c>
      <c r="E26" s="19" t="inlineStr">
        <is>
          <t>Recovery plans incorporate lessons learned.</t>
        </is>
      </c>
      <c r="F26" s="6" t="inlineStr">
        <is>
          <t>Not Implemented</t>
        </is>
      </c>
      <c r="G26" s="19" t="inlineStr">
        <is>
          <t>No post-incident review process exists.</t>
        </is>
      </c>
      <c r="H26" s="9" t="inlineStr">
        <is>
          <t>Medium</t>
        </is>
      </c>
      <c r="I26" s="19" t="inlineStr">
        <is>
          <t>Dana Cho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6" customWidth="1" min="4" max="4"/>
    <col width="48" customWidth="1" min="5" max="5"/>
  </cols>
  <sheetData>
    <row r="1" ht="30" customHeight="1">
      <c r="A1" s="1" t="inlineStr">
        <is>
          <t>NimbusCore Inc. — Gap Summary Dashboard</t>
        </is>
      </c>
    </row>
    <row r="3">
      <c r="A3" s="20" t="inlineStr">
        <is>
          <t>Control Status Summary</t>
        </is>
      </c>
    </row>
    <row r="4">
      <c r="A4" s="21" t="inlineStr">
        <is>
          <t>Status</t>
        </is>
      </c>
      <c r="B4" s="21" t="inlineStr">
        <is>
          <t>Count</t>
        </is>
      </c>
      <c r="C4" s="21" t="inlineStr">
        <is>
          <t>% of Total</t>
        </is>
      </c>
    </row>
    <row r="5">
      <c r="A5" s="22" t="inlineStr">
        <is>
          <t>Implemented</t>
        </is>
      </c>
      <c r="B5" s="22">
        <f>COUNTIF('Control Mapping'!F4:F26,"Implemented")</f>
        <v/>
      </c>
      <c r="C5" s="23">
        <f>B5/B8</f>
        <v/>
      </c>
    </row>
    <row r="6">
      <c r="A6" s="24" t="inlineStr">
        <is>
          <t>Partial</t>
        </is>
      </c>
      <c r="B6" s="24">
        <f>COUNTIF('Control Mapping'!F4:F26,"Partial")</f>
        <v/>
      </c>
      <c r="C6" s="25">
        <f>B6/B8</f>
        <v/>
      </c>
    </row>
    <row r="7">
      <c r="A7" s="26" t="inlineStr">
        <is>
          <t>Not Implemented</t>
        </is>
      </c>
      <c r="B7" s="26">
        <f>COUNTIF('Control Mapping'!F4:F26,"Not Implemented")</f>
        <v/>
      </c>
      <c r="C7" s="27">
        <f>B7/B8</f>
        <v/>
      </c>
    </row>
    <row r="8">
      <c r="A8" s="28" t="inlineStr">
        <is>
          <t>TOTAL</t>
        </is>
      </c>
      <c r="B8" s="28">
        <f>SUM(B5:B7)</f>
        <v/>
      </c>
      <c r="C8" s="29">
        <f>B8/B8</f>
        <v/>
      </c>
    </row>
    <row r="10">
      <c r="A10" s="20" t="inlineStr">
        <is>
          <t>Gap Priority Summary</t>
        </is>
      </c>
    </row>
    <row r="11">
      <c r="A11" s="21" t="inlineStr">
        <is>
          <t>Status</t>
        </is>
      </c>
      <c r="B11" s="21" t="inlineStr">
        <is>
          <t>Count</t>
        </is>
      </c>
      <c r="C11" s="21" t="inlineStr">
        <is>
          <t>% of Total</t>
        </is>
      </c>
    </row>
    <row r="12">
      <c r="A12" s="26" t="inlineStr">
        <is>
          <t>High</t>
        </is>
      </c>
      <c r="B12" s="26">
        <f>COUNTIF('Control Mapping'!H4:H26,"High")</f>
        <v/>
      </c>
      <c r="C12" s="27">
        <f>B12/B15</f>
        <v/>
      </c>
    </row>
    <row r="13">
      <c r="A13" s="30" t="inlineStr">
        <is>
          <t>Medium</t>
        </is>
      </c>
      <c r="B13" s="30">
        <f>COUNTIF('Control Mapping'!H4:H26,"Medium")</f>
        <v/>
      </c>
      <c r="C13" s="31">
        <f>B13/B15</f>
        <v/>
      </c>
    </row>
    <row r="14">
      <c r="A14" s="22" t="inlineStr">
        <is>
          <t>Low</t>
        </is>
      </c>
      <c r="B14" s="22">
        <f>COUNTIF('Control Mapping'!H4:H26,"Low")</f>
        <v/>
      </c>
      <c r="C14" s="23">
        <f>B14/B15</f>
        <v/>
      </c>
    </row>
    <row r="15">
      <c r="A15" s="28" t="inlineStr">
        <is>
          <t>TOTAL</t>
        </is>
      </c>
      <c r="B15" s="28">
        <f>SUM(B12:B14)</f>
        <v/>
      </c>
      <c r="C15" s="29">
        <f>B15/B15</f>
        <v/>
      </c>
    </row>
    <row r="17" ht="22" customHeight="1">
      <c r="A17" s="32" t="inlineStr">
        <is>
          <t>Top High-Priority Gaps (Action Required)</t>
        </is>
      </c>
    </row>
    <row r="18" ht="30" customHeight="1">
      <c r="A18" s="33" t="inlineStr">
        <is>
          <t>Control ID</t>
        </is>
      </c>
      <c r="B18" s="33" t="inlineStr">
        <is>
          <t>Category</t>
        </is>
      </c>
      <c r="C18" s="33" t="inlineStr">
        <is>
          <t>Gap Description</t>
        </is>
      </c>
      <c r="D18" s="33" t="inlineStr">
        <is>
          <t>Owner</t>
        </is>
      </c>
      <c r="E18" s="33" t="inlineStr">
        <is>
          <t>Recommended Action</t>
        </is>
      </c>
    </row>
    <row r="19" ht="42" customHeight="1">
      <c r="A19" s="34" t="inlineStr">
        <is>
          <t>ID.AM-1</t>
        </is>
      </c>
      <c r="B19" s="34" t="inlineStr">
        <is>
          <t>Asset Management</t>
        </is>
      </c>
      <c r="C19" s="34" t="inlineStr">
        <is>
          <t>No formal asset inventory exists</t>
        </is>
      </c>
      <c r="D19" s="34" t="inlineStr">
        <is>
          <t>Dana Cho</t>
        </is>
      </c>
      <c r="E19" s="34" t="inlineStr">
        <is>
          <t>Implement AWS Config + build an asset inventory spreadsheet</t>
        </is>
      </c>
    </row>
    <row r="20" ht="42" customHeight="1">
      <c r="A20" s="35" t="inlineStr">
        <is>
          <t>ID.GV-1</t>
        </is>
      </c>
      <c r="B20" s="35" t="inlineStr">
        <is>
          <t>Governance</t>
        </is>
      </c>
      <c r="C20" s="35" t="inlineStr">
        <is>
          <t>No Information Security Policy documented</t>
        </is>
      </c>
      <c r="D20" s="35" t="inlineStr">
        <is>
          <t>Jordan Mills</t>
        </is>
      </c>
      <c r="E20" s="35" t="inlineStr">
        <is>
          <t>Draft and publish an Information Security Policy this quarter</t>
        </is>
      </c>
    </row>
    <row r="21" ht="42" customHeight="1">
      <c r="A21" s="34" t="inlineStr">
        <is>
          <t>ID.RA-1</t>
        </is>
      </c>
      <c r="B21" s="34" t="inlineStr">
        <is>
          <t>Risk Assessment</t>
        </is>
      </c>
      <c r="C21" s="34" t="inlineStr">
        <is>
          <t>No vulnerability management process in place</t>
        </is>
      </c>
      <c r="D21" s="34" t="inlineStr">
        <is>
          <t>Dana Cho</t>
        </is>
      </c>
      <c r="E21" s="34" t="inlineStr">
        <is>
          <t>Deploy Amazon Inspector or a free tool like OpenVAS; schedule quarterly scans</t>
        </is>
      </c>
    </row>
    <row r="22" ht="42" customHeight="1">
      <c r="A22" s="35" t="inlineStr">
        <is>
          <t>PR.AC-1</t>
        </is>
      </c>
      <c r="B22" s="35" t="inlineStr">
        <is>
          <t>Access Control</t>
        </is>
      </c>
      <c r="C22" s="35" t="inlineStr">
        <is>
          <t>MFA not enforced for all employees</t>
        </is>
      </c>
      <c r="D22" s="35" t="inlineStr">
        <is>
          <t>Marcus Reyes</t>
        </is>
      </c>
      <c r="E22" s="35" t="inlineStr">
        <is>
          <t>Enable MFA for all Okta accounts via policy enforcement</t>
        </is>
      </c>
    </row>
    <row r="23" ht="42" customHeight="1">
      <c r="A23" s="34" t="inlineStr">
        <is>
          <t>PR.AC-4</t>
        </is>
      </c>
      <c r="B23" s="34" t="inlineStr">
        <is>
          <t>Access Control</t>
        </is>
      </c>
      <c r="C23" s="34" t="inlineStr">
        <is>
          <t>Least privilege inconsistently applied in AWS IAM</t>
        </is>
      </c>
      <c r="D23" s="34" t="inlineStr">
        <is>
          <t>Marcus Reyes</t>
        </is>
      </c>
      <c r="E23" s="34" t="inlineStr">
        <is>
          <t>Run IAM Access Analyzer; remove unused permissions within 30 days</t>
        </is>
      </c>
    </row>
    <row r="24" ht="42" customHeight="1">
      <c r="A24" s="35" t="inlineStr">
        <is>
          <t>PR.IP-9</t>
        </is>
      </c>
      <c r="B24" s="35" t="inlineStr">
        <is>
          <t>Incident Response</t>
        </is>
      </c>
      <c r="C24" s="35" t="inlineStr">
        <is>
          <t>No incident response or BCP plan documented</t>
        </is>
      </c>
      <c r="D24" s="35" t="inlineStr">
        <is>
          <t>Dana Cho</t>
        </is>
      </c>
      <c r="E24" s="35" t="inlineStr">
        <is>
          <t>Draft an Incident Response Plan using NIST SP 800-61 as template</t>
        </is>
      </c>
    </row>
    <row r="25" ht="42" customHeight="1">
      <c r="A25" s="34" t="inlineStr">
        <is>
          <t>DE.CM-7</t>
        </is>
      </c>
      <c r="B25" s="34" t="inlineStr">
        <is>
          <t>Continuous Monitoring</t>
        </is>
      </c>
      <c r="C25" s="34" t="inlineStr">
        <is>
          <t>No process to detect unauthorized accounts/devices</t>
        </is>
      </c>
      <c r="D25" s="34" t="inlineStr">
        <is>
          <t>Dana Cho</t>
        </is>
      </c>
      <c r="E25" s="34" t="inlineStr">
        <is>
          <t>Schedule monthly IAM access reviews; enable GuardDuty</t>
        </is>
      </c>
    </row>
    <row r="26" ht="42" customHeight="1">
      <c r="A26" s="35" t="inlineStr">
        <is>
          <t>RS.RP-1</t>
        </is>
      </c>
      <c r="B26" s="35" t="inlineStr">
        <is>
          <t>Response Planning</t>
        </is>
      </c>
      <c r="C26" s="35" t="inlineStr">
        <is>
          <t>Incident response is entirely ad hoc</t>
        </is>
      </c>
      <c r="D26" s="35" t="inlineStr">
        <is>
          <t>Dana Cho</t>
        </is>
      </c>
      <c r="E26" s="35" t="inlineStr">
        <is>
          <t>Define and test an IR playbook covering at least phishing and ransomware</t>
        </is>
      </c>
    </row>
    <row r="27" ht="42" customHeight="1">
      <c r="A27" s="34" t="inlineStr">
        <is>
          <t>RC.RP-1</t>
        </is>
      </c>
      <c r="B27" s="34" t="inlineStr">
        <is>
          <t>Recovery Planning</t>
        </is>
      </c>
      <c r="C27" s="34" t="inlineStr">
        <is>
          <t>No disaster recovery plan; RTO/RPO undefined</t>
        </is>
      </c>
      <c r="D27" s="34" t="inlineStr">
        <is>
          <t>Marcus Reyes</t>
        </is>
      </c>
      <c r="E27" s="34" t="inlineStr">
        <is>
          <t>Define RTO/RPO targets; test AWS backup and restore procedures</t>
        </is>
      </c>
    </row>
  </sheetData>
  <mergeCells count="4">
    <mergeCell ref="A3:F3"/>
    <mergeCell ref="A1:F1"/>
    <mergeCell ref="A17:F17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8" customHeight="1">
      <c r="A1" s="36" t="inlineStr">
        <is>
          <t>Legend and Key</t>
        </is>
      </c>
    </row>
    <row r="3">
      <c r="A3" s="37" t="inlineStr">
        <is>
          <t>STATUS</t>
        </is>
      </c>
    </row>
    <row r="4">
      <c r="A4" s="38" t="inlineStr">
        <is>
          <t>Implemented</t>
        </is>
      </c>
      <c r="B4" s="39" t="inlineStr">
        <is>
          <t>Control is fully in place and documented</t>
        </is>
      </c>
    </row>
    <row r="5">
      <c r="A5" s="40" t="inlineStr">
        <is>
          <t>Partial</t>
        </is>
      </c>
      <c r="B5" s="39" t="inlineStr">
        <is>
          <t>Control exists but has gaps or is inconsistently applied</t>
        </is>
      </c>
    </row>
    <row r="6">
      <c r="A6" s="41" t="inlineStr">
        <is>
          <t>Not Implemented</t>
        </is>
      </c>
      <c r="B6" s="39" t="inlineStr">
        <is>
          <t>Control does not exist; remediation required</t>
        </is>
      </c>
    </row>
    <row r="8">
      <c r="A8" s="37" t="inlineStr">
        <is>
          <t>PRIORITY</t>
        </is>
      </c>
    </row>
    <row r="9">
      <c r="A9" s="41" t="inlineStr">
        <is>
          <t>High</t>
        </is>
      </c>
      <c r="B9" s="39" t="inlineStr">
        <is>
          <t>Significant risk exposure; remediate within 30 days</t>
        </is>
      </c>
    </row>
    <row r="10">
      <c r="A10" s="42" t="inlineStr">
        <is>
          <t>Medium</t>
        </is>
      </c>
      <c r="B10" s="39" t="inlineStr">
        <is>
          <t>Moderate risk; remediate within 90 days</t>
        </is>
      </c>
    </row>
    <row r="11">
      <c r="A11" s="38" t="inlineStr">
        <is>
          <t>Low</t>
        </is>
      </c>
      <c r="B11" s="39" t="inlineStr">
        <is>
          <t>Minor or compensating controls exist; monitor</t>
        </is>
      </c>
    </row>
    <row r="13">
      <c r="A13" s="37" t="inlineStr">
        <is>
          <t>NIST CSF FUNCTIONS</t>
        </is>
      </c>
    </row>
    <row r="14">
      <c r="A14" s="43" t="inlineStr">
        <is>
          <t>IDENTIFY</t>
        </is>
      </c>
      <c r="B14" s="39" t="inlineStr">
        <is>
          <t>Develop understanding of how to manage risk</t>
        </is>
      </c>
    </row>
    <row r="15">
      <c r="A15" s="44" t="inlineStr">
        <is>
          <t>PROTECT</t>
        </is>
      </c>
      <c r="B15" s="39" t="inlineStr">
        <is>
          <t>Implement safeguards to ensure delivery of services</t>
        </is>
      </c>
    </row>
    <row r="16">
      <c r="A16" s="45" t="inlineStr">
        <is>
          <t>DETECT</t>
        </is>
      </c>
      <c r="B16" s="39" t="inlineStr">
        <is>
          <t>Implement activities to identify cybersecurity events</t>
        </is>
      </c>
    </row>
    <row r="17">
      <c r="A17" s="46" t="inlineStr">
        <is>
          <t>RESPOND</t>
        </is>
      </c>
      <c r="B17" s="39" t="inlineStr">
        <is>
          <t>Take action regarding a detected cybersecurity incident</t>
        </is>
      </c>
    </row>
    <row r="18">
      <c r="A18" s="47" t="inlineStr">
        <is>
          <t>RECOVER</t>
        </is>
      </c>
      <c r="B18" s="39" t="inlineStr">
        <is>
          <t>Maintain plans for resilience and restoration</t>
        </is>
      </c>
    </row>
  </sheetData>
  <mergeCells count="15">
    <mergeCell ref="B10:D10"/>
    <mergeCell ref="A1:D1"/>
    <mergeCell ref="B11:D11"/>
    <mergeCell ref="B5:D5"/>
    <mergeCell ref="A8:D8"/>
    <mergeCell ref="B14:D14"/>
    <mergeCell ref="A3:D3"/>
    <mergeCell ref="B4:D4"/>
    <mergeCell ref="B16:D16"/>
    <mergeCell ref="B9:D9"/>
    <mergeCell ref="B17:D17"/>
    <mergeCell ref="B18:D18"/>
    <mergeCell ref="B15:D15"/>
    <mergeCell ref="B6:D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2026-05-09T06:07:09Z</dcterms:created>
  <dcterms:modified xmlns:dcterms="http://purl.org/dc/terms/" xmlns:xsi="http://www.w3.org/2001/XMLSchema-instance" xsi:type="dcterms:W3CDTF">2026-05-09T06:07:09Z</dcterms:modified>
</cp:coreProperties>
</file>